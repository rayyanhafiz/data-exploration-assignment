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97152\Desktop\Entri Learning\Assignments\"/>
    </mc:Choice>
  </mc:AlternateContent>
  <xr:revisionPtr revIDLastSave="0" documentId="8_{A485F127-9C96-46C1-98CC-D903ED4463E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P12" i="3" l="1" a="1"/>
  <c r="O12" i="3" a="1"/>
  <c r="N12" i="3" a="1"/>
  <c r="Q7" i="3"/>
  <c r="Q6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21" i="3"/>
  <c r="K15" i="3"/>
  <c r="K14" i="3"/>
  <c r="K8" i="3"/>
  <c r="K7" i="3"/>
  <c r="K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<sst xmlns="http://schemas.openxmlformats.org/spreadsheetml/2006/main" count="322" uniqueCount="131">
  <si>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</si>
  <si>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</si>
  <si>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</si>
  <si>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</si>
  <si>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</si>
  <si>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</si>
  <si>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</si>
  <si>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</si>
  <si>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</si>
  <si>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</si>
  <si>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</si>
  <si>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</si>
  <si>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</si>
  <si>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</si>
  <si>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</si>
  <si>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</si>
  <si>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</si>
  <si>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</si>
  <si>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</si>
  <si>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</si>
  <si>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</si>
  <si>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</si>
  <si>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</si>
  <si>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</si>
  <si>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</si>
  <si>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</si>
  <si>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</si>
  <si>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</si>
  <si>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</si>
  <si>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</si>
  <si>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</si>
  <si>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</si>
  <si>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</si>
  <si>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</si>
  <si>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</si>
  <si>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</si>
  <si>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</si>
  <si>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</si>
  <si>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</si>
  <si>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</si>
  <si>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</si>
  <si>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</si>
  <si>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</si>
  <si>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</si>
  <si>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</si>
  <si>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</si>
  <si>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</si>
  <si>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</si>
  <si>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</si>
  <si>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</si>
  <si>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</si>
  <si>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</si>
  <si>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</si>
  <si>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</si>
  <si>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</si>
  <si>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</si>
  <si>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</si>
  <si>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</si>
  <si>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</si>
  <si>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</si>
  <si>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</si>
  <si>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</si>
  <si>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</si>
  <si>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</si>
  <si>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</si>
  <si>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</si>
  <si>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</si>
  <si>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</si>
  <si>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</si>
  <si>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</si>
  <si>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</si>
  <si>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</si>
  <si>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</si>
  <si>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</si>
  <si>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</si>
  <si>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</si>
  <si>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</si>
  <si>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</si>
  <si>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</si>
  <si>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</si>
  <si>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</si>
  <si>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</si>
  <si>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</si>
  <si>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</si>
  <si>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</si>
  <si>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</si>
  <si>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</si>
  <si>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</si>
  <si>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</si>
  <si>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</si>
  <si>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</si>
  <si>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</si>
  <si>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</si>
  <si>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</si>
  <si>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</si>
  <si>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</si>
  <si>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</si>
  <si>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</si>
  <si>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</si>
  <si>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</si>
  <si>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</si>
  <si>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</si>
  <si>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</si>
  <si>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</si>
  <si>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</si>
  <si>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</si>
  <si>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</si>
  <si>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</si>
  <si>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</si>
  <si>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</si>
  <si>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1</t>
  </si>
  <si>
    <t>Sum, Count, Average</t>
  </si>
  <si>
    <t>Total Price</t>
  </si>
  <si>
    <t>No of Products</t>
  </si>
  <si>
    <t>Average Product Price</t>
  </si>
  <si>
    <t>Question 2</t>
  </si>
  <si>
    <t>Min and Max</t>
  </si>
  <si>
    <t>Minimum Price</t>
  </si>
  <si>
    <t>Maximum Price</t>
  </si>
  <si>
    <t>Question 3</t>
  </si>
  <si>
    <t>If Function</t>
  </si>
  <si>
    <t>Price Range</t>
  </si>
  <si>
    <t>High or Standard</t>
  </si>
  <si>
    <t>Question 4</t>
  </si>
  <si>
    <t>SUMIF &amp; COUNTIF</t>
  </si>
  <si>
    <t>Total Price for Electronics</t>
  </si>
  <si>
    <t>Products with a price less than $100</t>
  </si>
  <si>
    <t>Question 5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</si>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</sst>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9" fillId="0" borderId="2" xfId="0" applyFont="1" applyBorder="1"/>
    <xf numFmtId="0" fontId="9" fillId="0" borderId="5" xfId="0" applyFont="1" applyBorder="1"/>
    <xf numFmtId="0" fontId="10" fillId="0" borderId="0" xfId="0" applyFont="1"/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9" xfId="0" applyBorder="1"/>
    <xf numFmtId="0" fontId="9" fillId="0" borderId="10" xfId="0" applyFont="1" applyBorder="1"/>
    <xf numFmtId="0" fontId="9" fillId="0" borderId="12" xfId="0" applyFont="1" applyBorder="1"/>
    <xf numFmtId="0" fontId="0" fillId="0" borderId="0" xfId="0"/>
    <xf numFmtId="0" fontId="0" fillId="0" borderId="10" xfId="0" applyBorder="1"/>
    <xf numFmtId="0" fontId="0" fillId="0" borderId="4" xfId="0" applyBorder="1"/>
    <xf numFmtId="0" fontId="0" fillId="0" borderId="12" xfId="0" applyBorder="1"/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G22" sqref="G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12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12" t="s">
        <v>11</v>
      </c>
    </row>
    <row r="17" spans="2:3" ht="15.75" customHeight="1" x14ac:dyDescent="0.3">
      <c r="C17" s="12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2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A880-A318-41BB-BC42-9C2C33B85A0A}">
  <dimension ref="A1:Q54"/>
  <sheetViews>
    <sheetView tabSelected="1" topLeftCell="B1" zoomScale="107" zoomScaleNormal="99" workbookViewId="0">
      <selection activeCell="H19" sqref="H19:K19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14" max="14" width="13.33203125" customWidth="1"/>
    <col min="15" max="15" width="17.5546875" customWidth="1"/>
    <col min="16" max="16" width="16.5546875" customWidth="1"/>
  </cols>
  <sheetData>
    <row r="1" spans="1:17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7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</row>
    <row r="3" spans="1:17" ht="13.8" thickBot="1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</row>
    <row r="4" spans="1:17" ht="13.8" thickBot="1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H4" s="50" t="s">
        <v>110</v>
      </c>
      <c r="I4" s="51"/>
      <c r="J4" s="51"/>
      <c r="K4" s="52"/>
      <c r="N4" s="25" t="s">
        <v>123</v>
      </c>
      <c r="O4" s="26"/>
      <c r="P4" s="26"/>
      <c r="Q4" s="27"/>
    </row>
    <row r="5" spans="1:17" ht="13.8" thickBot="1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H5" s="50" t="s">
        <v>111</v>
      </c>
      <c r="I5" s="51"/>
      <c r="J5" s="51"/>
      <c r="K5" s="52"/>
      <c r="N5" s="28" t="s">
        <v>124</v>
      </c>
      <c r="O5" s="29"/>
      <c r="P5" s="29"/>
      <c r="Q5" s="30"/>
    </row>
    <row r="6" spans="1:17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H6" s="42" t="s">
        <v>112</v>
      </c>
      <c r="I6" s="32"/>
      <c r="J6" s="32"/>
      <c r="K6" s="10">
        <f>SUM(Sheet1!D2:D35)</f>
        <v>10100</v>
      </c>
      <c r="N6" s="31" t="s">
        <v>125</v>
      </c>
      <c r="O6" s="32"/>
      <c r="P6" s="32"/>
      <c r="Q6" s="19">
        <f>SUMIF(F2:F35,F2,D2:D35)</f>
        <v>8050</v>
      </c>
    </row>
    <row r="7" spans="1:17" ht="13.8" thickBot="1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H7" s="42" t="s">
        <v>113</v>
      </c>
      <c r="I7" s="32"/>
      <c r="J7" s="32"/>
      <c r="K7" s="10">
        <f>COUNT(E2:E35)</f>
        <v>34</v>
      </c>
      <c r="N7" s="33" t="s">
        <v>126</v>
      </c>
      <c r="O7" s="34"/>
      <c r="P7" s="34"/>
      <c r="Q7" s="20">
        <f>COUNTIF(D2:D35, "&lt;100")</f>
        <v>11</v>
      </c>
    </row>
    <row r="8" spans="1:17" ht="13.8" thickBot="1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H8" s="43" t="s">
        <v>114</v>
      </c>
      <c r="I8" s="34"/>
      <c r="J8" s="34"/>
      <c r="K8" s="11">
        <f>AVERAGE(D2:D35)</f>
        <v>297.05882352941177</v>
      </c>
    </row>
    <row r="9" spans="1:17" ht="13.8" thickBot="1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17" ht="13.8" thickBot="1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N10" s="47" t="s">
        <v>127</v>
      </c>
      <c r="O10" s="48"/>
      <c r="P10" s="48"/>
      <c r="Q10" s="49"/>
    </row>
    <row r="11" spans="1:17" ht="13.8" thickBot="1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N11" s="45" t="s">
        <v>128</v>
      </c>
      <c r="O11" s="46" t="s">
        <v>129</v>
      </c>
      <c r="P11" s="46" t="s">
        <v>130</v>
      </c>
      <c r="Q11" s="17"/>
    </row>
    <row r="12" spans="1:17" ht="13.8" thickBot="1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H12" s="50" t="s">
        <v>115</v>
      </c>
      <c r="I12" s="51"/>
      <c r="J12" s="51"/>
      <c r="K12" s="52"/>
      <c r="N12" s="14" t="str" cm="1">
        <f t="array" ref="N12:N45">LEFT(A2:A35,2)</f>
        <v>28</v>
      </c>
      <c r="O12" s="44" t="str" cm="1">
        <f t="array" ref="O12:O45">RIGHT(A2:A35,2)</f>
        <v>US</v>
      </c>
      <c r="P12" s="44" t="str" cm="1">
        <f t="array" ref="P12:P45">MID(A2:A35,4,3)</f>
        <v>JAN</v>
      </c>
      <c r="Q12" s="15"/>
    </row>
    <row r="13" spans="1:17" ht="13.8" thickBot="1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H13" s="50" t="s">
        <v>116</v>
      </c>
      <c r="I13" s="51"/>
      <c r="J13" s="51"/>
      <c r="K13" s="52"/>
      <c r="N13" s="14" t="str">
        <v>15</v>
      </c>
      <c r="O13" s="44" t="str">
        <v>US</v>
      </c>
      <c r="P13" s="44" t="str">
        <v>FEB</v>
      </c>
      <c r="Q13" s="15"/>
    </row>
    <row r="14" spans="1:17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H14" s="42" t="s">
        <v>117</v>
      </c>
      <c r="I14" s="32"/>
      <c r="J14" s="32"/>
      <c r="K14" s="10">
        <f>MIN(D2:D35)</f>
        <v>30</v>
      </c>
      <c r="N14" s="14" t="str">
        <v>03</v>
      </c>
      <c r="O14" s="44" t="str">
        <v>US</v>
      </c>
      <c r="P14" s="44" t="str">
        <v>MAR</v>
      </c>
      <c r="Q14" s="15"/>
    </row>
    <row r="15" spans="1:17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H15" s="42" t="s">
        <v>118</v>
      </c>
      <c r="I15" s="32"/>
      <c r="J15" s="32"/>
      <c r="K15" s="10">
        <f>MAX(D2:D35)</f>
        <v>1000</v>
      </c>
      <c r="N15" s="14" t="str">
        <v>11</v>
      </c>
      <c r="O15" s="44" t="str">
        <v>US</v>
      </c>
      <c r="P15" s="44" t="str">
        <v>APR</v>
      </c>
      <c r="Q15" s="15"/>
    </row>
    <row r="16" spans="1:17" ht="13.8" thickBot="1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H16" s="43"/>
      <c r="I16" s="34"/>
      <c r="J16" s="34"/>
      <c r="K16" s="11"/>
      <c r="N16" s="14" t="str">
        <v>22</v>
      </c>
      <c r="O16" s="44" t="str">
        <v>US</v>
      </c>
      <c r="P16" s="44" t="str">
        <v>MAY</v>
      </c>
      <c r="Q16" s="15"/>
    </row>
    <row r="17" spans="1:17" ht="13.8" thickBot="1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N17" s="14" t="str">
        <v>07</v>
      </c>
      <c r="O17" s="44" t="str">
        <v>UK</v>
      </c>
      <c r="P17" s="44" t="str">
        <v>JUN</v>
      </c>
      <c r="Q17" s="15"/>
    </row>
    <row r="18" spans="1:17" ht="13.8" thickBot="1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H18" s="47" t="s">
        <v>119</v>
      </c>
      <c r="I18" s="48"/>
      <c r="J18" s="48"/>
      <c r="K18" s="49"/>
      <c r="L18" s="18"/>
      <c r="N18" s="14" t="str">
        <v>19</v>
      </c>
      <c r="O18" s="44" t="str">
        <v>UK</v>
      </c>
      <c r="P18" s="44" t="str">
        <v>JUL</v>
      </c>
      <c r="Q18" s="15"/>
    </row>
    <row r="19" spans="1:17" ht="13.8" thickBot="1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H19" s="47" t="s">
        <v>120</v>
      </c>
      <c r="I19" s="48"/>
      <c r="J19" s="48"/>
      <c r="K19" s="49"/>
      <c r="N19" s="14" t="str">
        <v>23</v>
      </c>
      <c r="O19" s="44" t="str">
        <v>UK</v>
      </c>
      <c r="P19" s="44" t="str">
        <v>AUG</v>
      </c>
      <c r="Q19" s="15"/>
    </row>
    <row r="20" spans="1:17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H20" s="39" t="s">
        <v>121</v>
      </c>
      <c r="I20" s="40"/>
      <c r="J20" s="40" t="s">
        <v>122</v>
      </c>
      <c r="K20" s="41"/>
      <c r="N20" s="14" t="str">
        <v>05</v>
      </c>
      <c r="O20" s="44" t="str">
        <v>UK</v>
      </c>
      <c r="P20" s="44" t="str">
        <v>SEP</v>
      </c>
      <c r="Q20" s="15"/>
    </row>
    <row r="21" spans="1:17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H21" s="35">
        <v>1000</v>
      </c>
      <c r="I21" s="36"/>
      <c r="J21" s="21" t="str">
        <f>IF(H21&gt;500, "High Price", "Standard Price")</f>
        <v>High Price</v>
      </c>
      <c r="K21" s="22"/>
      <c r="N21" s="14" t="str">
        <v>14</v>
      </c>
      <c r="O21" s="44" t="str">
        <v>UK</v>
      </c>
      <c r="P21" s="44" t="str">
        <v>OCT</v>
      </c>
      <c r="Q21" s="15"/>
    </row>
    <row r="22" spans="1:17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H22" s="35">
        <v>80</v>
      </c>
      <c r="I22" s="36"/>
      <c r="J22" s="21" t="str">
        <f t="shared" ref="J22:J54" si="0">IF(H22&gt;500, "High Price", "Standard Price")</f>
        <v>Standard Price</v>
      </c>
      <c r="K22" s="22"/>
      <c r="N22" s="14" t="str">
        <v>17</v>
      </c>
      <c r="O22" s="44" t="str">
        <v>IN</v>
      </c>
      <c r="P22" s="44" t="str">
        <v>JUN</v>
      </c>
      <c r="Q22" s="15"/>
    </row>
    <row r="23" spans="1:17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H23" s="35">
        <v>130</v>
      </c>
      <c r="I23" s="36"/>
      <c r="J23" s="21" t="str">
        <f t="shared" si="0"/>
        <v>Standard Price</v>
      </c>
      <c r="K23" s="22"/>
      <c r="N23" s="14" t="str">
        <v>25</v>
      </c>
      <c r="O23" s="44" t="str">
        <v>AU</v>
      </c>
      <c r="P23" s="44" t="str">
        <v>NOV</v>
      </c>
      <c r="Q23" s="15"/>
    </row>
    <row r="24" spans="1:17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H24" s="35">
        <v>900</v>
      </c>
      <c r="I24" s="36"/>
      <c r="J24" s="21" t="str">
        <f t="shared" si="0"/>
        <v>High Price</v>
      </c>
      <c r="K24" s="22"/>
      <c r="N24" s="14" t="str">
        <v>08</v>
      </c>
      <c r="O24" s="44" t="str">
        <v>DE</v>
      </c>
      <c r="P24" s="44" t="str">
        <v>DEC</v>
      </c>
      <c r="Q24" s="15"/>
    </row>
    <row r="25" spans="1:17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H25" s="35">
        <v>70</v>
      </c>
      <c r="I25" s="36"/>
      <c r="J25" s="21" t="str">
        <f t="shared" si="0"/>
        <v>Standard Price</v>
      </c>
      <c r="K25" s="22"/>
      <c r="N25" s="14" t="str">
        <v>18</v>
      </c>
      <c r="O25" s="44" t="str">
        <v>CA</v>
      </c>
      <c r="P25" s="44" t="str">
        <v>FEB</v>
      </c>
      <c r="Q25" s="15"/>
    </row>
    <row r="26" spans="1:17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H26" s="35">
        <v>200</v>
      </c>
      <c r="I26" s="36"/>
      <c r="J26" s="21" t="str">
        <f t="shared" si="0"/>
        <v>Standard Price</v>
      </c>
      <c r="K26" s="22"/>
      <c r="N26" s="14" t="str">
        <v>16</v>
      </c>
      <c r="O26" s="44" t="str">
        <v>ES</v>
      </c>
      <c r="P26" s="44" t="str">
        <v>APR</v>
      </c>
      <c r="Q26" s="15"/>
    </row>
    <row r="27" spans="1:17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H27" s="35">
        <v>30</v>
      </c>
      <c r="I27" s="36"/>
      <c r="J27" s="21" t="str">
        <f t="shared" si="0"/>
        <v>Standard Price</v>
      </c>
      <c r="K27" s="22"/>
      <c r="N27" s="14" t="str">
        <v>21</v>
      </c>
      <c r="O27" s="44" t="str">
        <v>CA</v>
      </c>
      <c r="P27" s="44" t="str">
        <v>AUG</v>
      </c>
      <c r="Q27" s="15"/>
    </row>
    <row r="28" spans="1:17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H28" s="35">
        <v>90</v>
      </c>
      <c r="I28" s="36"/>
      <c r="J28" s="21" t="str">
        <f t="shared" si="0"/>
        <v>Standard Price</v>
      </c>
      <c r="K28" s="22"/>
      <c r="N28" s="14" t="str">
        <v>20</v>
      </c>
      <c r="O28" s="44" t="str">
        <v>CN</v>
      </c>
      <c r="P28" s="44" t="str">
        <v>AUG</v>
      </c>
      <c r="Q28" s="15"/>
    </row>
    <row r="29" spans="1:17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H29" s="35">
        <v>500</v>
      </c>
      <c r="I29" s="36"/>
      <c r="J29" s="21" t="str">
        <f t="shared" si="0"/>
        <v>Standard Price</v>
      </c>
      <c r="K29" s="22"/>
      <c r="N29" s="14" t="str">
        <v>27</v>
      </c>
      <c r="O29" s="44" t="str">
        <v>IT</v>
      </c>
      <c r="P29" s="44" t="str">
        <v>JAN</v>
      </c>
      <c r="Q29" s="15"/>
    </row>
    <row r="30" spans="1:17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H30" s="35">
        <v>130</v>
      </c>
      <c r="I30" s="36"/>
      <c r="J30" s="21" t="str">
        <f t="shared" si="0"/>
        <v>Standard Price</v>
      </c>
      <c r="K30" s="22"/>
      <c r="N30" s="14" t="str">
        <v>01</v>
      </c>
      <c r="O30" s="44" t="str">
        <v>UK</v>
      </c>
      <c r="P30" s="44" t="str">
        <v>MAR</v>
      </c>
      <c r="Q30" s="15"/>
    </row>
    <row r="31" spans="1:17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H31" s="35">
        <v>950</v>
      </c>
      <c r="I31" s="36"/>
      <c r="J31" s="21" t="str">
        <f t="shared" si="0"/>
        <v>High Price</v>
      </c>
      <c r="K31" s="22"/>
      <c r="N31" s="14" t="str">
        <v>14</v>
      </c>
      <c r="O31" s="44" t="str">
        <v>US</v>
      </c>
      <c r="P31" s="44" t="str">
        <v>AUG</v>
      </c>
      <c r="Q31" s="15"/>
    </row>
    <row r="32" spans="1:17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H32" s="35">
        <v>90</v>
      </c>
      <c r="I32" s="36"/>
      <c r="J32" s="21" t="str">
        <f t="shared" si="0"/>
        <v>Standard Price</v>
      </c>
      <c r="K32" s="22"/>
      <c r="N32" s="14" t="str">
        <v>14</v>
      </c>
      <c r="O32" s="44" t="str">
        <v>RU</v>
      </c>
      <c r="P32" s="44" t="str">
        <v>MAY</v>
      </c>
      <c r="Q32" s="15"/>
    </row>
    <row r="33" spans="1:17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H33" s="35">
        <v>120</v>
      </c>
      <c r="I33" s="36"/>
      <c r="J33" s="21" t="str">
        <f t="shared" si="0"/>
        <v>Standard Price</v>
      </c>
      <c r="K33" s="22"/>
      <c r="N33" s="14" t="str">
        <v>09</v>
      </c>
      <c r="O33" s="44" t="str">
        <v>CA</v>
      </c>
      <c r="P33" s="44" t="str">
        <v>JAN</v>
      </c>
      <c r="Q33" s="15"/>
    </row>
    <row r="34" spans="1:17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H34" s="35">
        <v>150</v>
      </c>
      <c r="I34" s="36"/>
      <c r="J34" s="21" t="str">
        <f t="shared" si="0"/>
        <v>Standard Price</v>
      </c>
      <c r="K34" s="22"/>
      <c r="N34" s="14" t="str">
        <v>19</v>
      </c>
      <c r="O34" s="44" t="str">
        <v>BR</v>
      </c>
      <c r="P34" s="44" t="str">
        <v>JUL</v>
      </c>
      <c r="Q34" s="15"/>
    </row>
    <row r="35" spans="1:17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H35" s="35">
        <v>250</v>
      </c>
      <c r="I35" s="36"/>
      <c r="J35" s="21" t="str">
        <f t="shared" si="0"/>
        <v>Standard Price</v>
      </c>
      <c r="K35" s="22"/>
      <c r="N35" s="14" t="str">
        <v>21</v>
      </c>
      <c r="O35" s="44" t="str">
        <v>CA</v>
      </c>
      <c r="P35" s="44" t="str">
        <v>AUG</v>
      </c>
      <c r="Q35" s="15"/>
    </row>
    <row r="36" spans="1:17" x14ac:dyDescent="0.25">
      <c r="H36" s="35">
        <v>50</v>
      </c>
      <c r="I36" s="36"/>
      <c r="J36" s="21" t="str">
        <f t="shared" si="0"/>
        <v>Standard Price</v>
      </c>
      <c r="K36" s="22"/>
      <c r="N36" s="14" t="str">
        <v>29</v>
      </c>
      <c r="O36" s="44" t="str">
        <v>CA</v>
      </c>
      <c r="P36" s="44" t="str">
        <v>SEP</v>
      </c>
      <c r="Q36" s="15"/>
    </row>
    <row r="37" spans="1:17" x14ac:dyDescent="0.25">
      <c r="H37" s="35">
        <v>160</v>
      </c>
      <c r="I37" s="36"/>
      <c r="J37" s="21" t="str">
        <f t="shared" si="0"/>
        <v>Standard Price</v>
      </c>
      <c r="K37" s="22"/>
      <c r="N37" s="14" t="str">
        <v>03</v>
      </c>
      <c r="O37" s="44" t="str">
        <v>CA</v>
      </c>
      <c r="P37" s="44" t="str">
        <v>JUN</v>
      </c>
      <c r="Q37" s="15"/>
    </row>
    <row r="38" spans="1:17" x14ac:dyDescent="0.25">
      <c r="H38" s="35">
        <v>980</v>
      </c>
      <c r="I38" s="36"/>
      <c r="J38" s="21" t="str">
        <f t="shared" si="0"/>
        <v>High Price</v>
      </c>
      <c r="K38" s="22"/>
      <c r="N38" s="14" t="str">
        <v>11</v>
      </c>
      <c r="O38" s="44" t="str">
        <v>CA</v>
      </c>
      <c r="P38" s="44" t="str">
        <v>JUL</v>
      </c>
      <c r="Q38" s="15"/>
    </row>
    <row r="39" spans="1:17" x14ac:dyDescent="0.25">
      <c r="H39" s="35">
        <v>150</v>
      </c>
      <c r="I39" s="36"/>
      <c r="J39" s="21" t="str">
        <f t="shared" si="0"/>
        <v>Standard Price</v>
      </c>
      <c r="K39" s="22"/>
      <c r="N39" s="14" t="str">
        <v>16</v>
      </c>
      <c r="O39" s="44" t="str">
        <v>ES</v>
      </c>
      <c r="P39" s="44" t="str">
        <v>APR</v>
      </c>
      <c r="Q39" s="15"/>
    </row>
    <row r="40" spans="1:17" x14ac:dyDescent="0.25">
      <c r="H40" s="35">
        <v>200</v>
      </c>
      <c r="I40" s="36"/>
      <c r="J40" s="21" t="str">
        <f t="shared" si="0"/>
        <v>Standard Price</v>
      </c>
      <c r="K40" s="22"/>
      <c r="N40" s="14" t="str">
        <v>07</v>
      </c>
      <c r="O40" s="44" t="str">
        <v>CA</v>
      </c>
      <c r="P40" s="44" t="str">
        <v>MAR</v>
      </c>
      <c r="Q40" s="15"/>
    </row>
    <row r="41" spans="1:17" x14ac:dyDescent="0.25">
      <c r="H41" s="35">
        <v>700</v>
      </c>
      <c r="I41" s="36"/>
      <c r="J41" s="21" t="str">
        <f t="shared" si="0"/>
        <v>High Price</v>
      </c>
      <c r="K41" s="22"/>
      <c r="N41" s="14" t="str">
        <v>13</v>
      </c>
      <c r="O41" s="44" t="str">
        <v>CA</v>
      </c>
      <c r="P41" s="44" t="str">
        <v>APR</v>
      </c>
      <c r="Q41" s="15"/>
    </row>
    <row r="42" spans="1:17" x14ac:dyDescent="0.25">
      <c r="H42" s="35">
        <v>80</v>
      </c>
      <c r="I42" s="36"/>
      <c r="J42" s="21" t="str">
        <f t="shared" si="0"/>
        <v>Standard Price</v>
      </c>
      <c r="K42" s="22"/>
      <c r="N42" s="14" t="str">
        <v>24</v>
      </c>
      <c r="O42" s="44" t="str">
        <v>CA</v>
      </c>
      <c r="P42" s="44" t="str">
        <v>MAY</v>
      </c>
      <c r="Q42" s="15"/>
    </row>
    <row r="43" spans="1:17" x14ac:dyDescent="0.25">
      <c r="H43" s="35">
        <v>150</v>
      </c>
      <c r="I43" s="36"/>
      <c r="J43" s="21" t="str">
        <f t="shared" si="0"/>
        <v>Standard Price</v>
      </c>
      <c r="K43" s="22"/>
      <c r="N43" s="14" t="str">
        <v>02</v>
      </c>
      <c r="O43" s="44" t="str">
        <v>CA</v>
      </c>
      <c r="P43" s="44" t="str">
        <v>DEC</v>
      </c>
      <c r="Q43" s="15"/>
    </row>
    <row r="44" spans="1:17" x14ac:dyDescent="0.25">
      <c r="H44" s="35">
        <v>50</v>
      </c>
      <c r="I44" s="36"/>
      <c r="J44" s="21" t="str">
        <f t="shared" si="0"/>
        <v>Standard Price</v>
      </c>
      <c r="K44" s="22"/>
      <c r="N44" s="14" t="str">
        <v>17</v>
      </c>
      <c r="O44" s="44" t="str">
        <v>IN</v>
      </c>
      <c r="P44" s="44" t="str">
        <v>JUN</v>
      </c>
      <c r="Q44" s="15"/>
    </row>
    <row r="45" spans="1:17" ht="13.8" thickBot="1" x14ac:dyDescent="0.3">
      <c r="H45" s="35">
        <v>800</v>
      </c>
      <c r="I45" s="36"/>
      <c r="J45" s="21" t="str">
        <f t="shared" si="0"/>
        <v>High Price</v>
      </c>
      <c r="K45" s="22"/>
      <c r="N45" s="16" t="str">
        <v>09</v>
      </c>
      <c r="O45" s="13" t="str">
        <v>FR</v>
      </c>
      <c r="P45" s="13" t="str">
        <v>JUL</v>
      </c>
      <c r="Q45" s="17"/>
    </row>
    <row r="46" spans="1:17" x14ac:dyDescent="0.25">
      <c r="H46" s="35">
        <v>130</v>
      </c>
      <c r="I46" s="36"/>
      <c r="J46" s="21" t="str">
        <f t="shared" si="0"/>
        <v>Standard Price</v>
      </c>
      <c r="K46" s="22"/>
    </row>
    <row r="47" spans="1:17" x14ac:dyDescent="0.25">
      <c r="H47" s="35">
        <v>400</v>
      </c>
      <c r="I47" s="36"/>
      <c r="J47" s="21" t="str">
        <f t="shared" si="0"/>
        <v>Standard Price</v>
      </c>
      <c r="K47" s="22"/>
    </row>
    <row r="48" spans="1:17" x14ac:dyDescent="0.25">
      <c r="H48" s="35">
        <v>230</v>
      </c>
      <c r="I48" s="36"/>
      <c r="J48" s="21" t="str">
        <f t="shared" si="0"/>
        <v>Standard Price</v>
      </c>
      <c r="K48" s="22"/>
    </row>
    <row r="49" spans="8:11" x14ac:dyDescent="0.25">
      <c r="H49" s="35">
        <v>60</v>
      </c>
      <c r="I49" s="36"/>
      <c r="J49" s="21" t="str">
        <f t="shared" si="0"/>
        <v>Standard Price</v>
      </c>
      <c r="K49" s="22"/>
    </row>
    <row r="50" spans="8:11" x14ac:dyDescent="0.25">
      <c r="H50" s="35">
        <v>40</v>
      </c>
      <c r="I50" s="36"/>
      <c r="J50" s="21" t="str">
        <f t="shared" si="0"/>
        <v>Standard Price</v>
      </c>
      <c r="K50" s="22"/>
    </row>
    <row r="51" spans="8:11" x14ac:dyDescent="0.25">
      <c r="H51" s="35">
        <v>130</v>
      </c>
      <c r="I51" s="36"/>
      <c r="J51" s="21" t="str">
        <f t="shared" si="0"/>
        <v>Standard Price</v>
      </c>
      <c r="K51" s="22"/>
    </row>
    <row r="52" spans="8:11" x14ac:dyDescent="0.25">
      <c r="H52" s="35">
        <v>50</v>
      </c>
      <c r="I52" s="36"/>
      <c r="J52" s="21" t="str">
        <f t="shared" si="0"/>
        <v>Standard Price</v>
      </c>
      <c r="K52" s="22"/>
    </row>
    <row r="53" spans="8:11" x14ac:dyDescent="0.25">
      <c r="H53" s="35">
        <v>950</v>
      </c>
      <c r="I53" s="36"/>
      <c r="J53" s="21" t="str">
        <f t="shared" si="0"/>
        <v>High Price</v>
      </c>
      <c r="K53" s="22"/>
    </row>
    <row r="54" spans="8:11" ht="13.8" thickBot="1" x14ac:dyDescent="0.3">
      <c r="H54" s="37">
        <v>100</v>
      </c>
      <c r="I54" s="38"/>
      <c r="J54" s="23" t="str">
        <f t="shared" si="0"/>
        <v>Standard Price</v>
      </c>
      <c r="K54" s="24"/>
    </row>
  </sheetData>
  <mergeCells count="87">
    <mergeCell ref="N10:Q10"/>
    <mergeCell ref="H4:K4"/>
    <mergeCell ref="H5:K5"/>
    <mergeCell ref="H6:J6"/>
    <mergeCell ref="H7:J7"/>
    <mergeCell ref="H8:J8"/>
    <mergeCell ref="H12:K12"/>
    <mergeCell ref="H13:K13"/>
    <mergeCell ref="H14:J14"/>
    <mergeCell ref="H15:J15"/>
    <mergeCell ref="H16:J16"/>
    <mergeCell ref="H26:I26"/>
    <mergeCell ref="H27:I27"/>
    <mergeCell ref="H28:I28"/>
    <mergeCell ref="H18:K18"/>
    <mergeCell ref="H19:K19"/>
    <mergeCell ref="H20:I20"/>
    <mergeCell ref="J20:K20"/>
    <mergeCell ref="H21:I21"/>
    <mergeCell ref="H22:I22"/>
    <mergeCell ref="H23:I23"/>
    <mergeCell ref="H24:I24"/>
    <mergeCell ref="H25:I25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2:I42"/>
    <mergeCell ref="H43:I43"/>
    <mergeCell ref="H44:I44"/>
    <mergeCell ref="H45:I45"/>
    <mergeCell ref="H46:I46"/>
    <mergeCell ref="J32:K32"/>
    <mergeCell ref="H53:I53"/>
    <mergeCell ref="H54:I54"/>
    <mergeCell ref="J21:K21"/>
    <mergeCell ref="J22:K22"/>
    <mergeCell ref="J23:K23"/>
    <mergeCell ref="J24:K24"/>
    <mergeCell ref="J25:K25"/>
    <mergeCell ref="J26:K26"/>
    <mergeCell ref="H47:I47"/>
    <mergeCell ref="H48:I48"/>
    <mergeCell ref="H49:I49"/>
    <mergeCell ref="H50:I50"/>
    <mergeCell ref="H51:I51"/>
    <mergeCell ref="H52:I52"/>
    <mergeCell ref="H41:I41"/>
    <mergeCell ref="J27:K27"/>
    <mergeCell ref="J28:K28"/>
    <mergeCell ref="J29:K29"/>
    <mergeCell ref="J30:K30"/>
    <mergeCell ref="J31:K31"/>
    <mergeCell ref="J41:K41"/>
    <mergeCell ref="J42:K42"/>
    <mergeCell ref="J43:K43"/>
    <mergeCell ref="J44:K44"/>
    <mergeCell ref="J33:K33"/>
    <mergeCell ref="J34:K34"/>
    <mergeCell ref="J35:K35"/>
    <mergeCell ref="J36:K36"/>
    <mergeCell ref="J37:K37"/>
    <mergeCell ref="J38:K38"/>
    <mergeCell ref="J51:K51"/>
    <mergeCell ref="J52:K52"/>
    <mergeCell ref="J53:K53"/>
    <mergeCell ref="J54:K54"/>
    <mergeCell ref="N4:Q4"/>
    <mergeCell ref="N5:Q5"/>
    <mergeCell ref="N6:P6"/>
    <mergeCell ref="N7:P7"/>
    <mergeCell ref="J45:K45"/>
    <mergeCell ref="J46:K46"/>
    <mergeCell ref="J47:K47"/>
    <mergeCell ref="J48:K48"/>
    <mergeCell ref="J49:K49"/>
    <mergeCell ref="J50:K50"/>
    <mergeCell ref="J39:K39"/>
    <mergeCell ref="J40:K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RAYYAN HAFIZ</dc:creator>
  <cp:lastModifiedBy>RAYYAN HAFIZ</cp:lastModifiedBy>
  <dcterms:created xsi:type="dcterms:W3CDTF">2026-10-29T06:28:49Z</dcterms:created>
  <dcterms:modified xsi:type="dcterms:W3CDTF">2026-10-29T06:28:51Z</dcterms:modified>
</cp:coreProperties>
</file>